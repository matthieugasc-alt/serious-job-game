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nexe financiè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<sst xmlns="http://schemas.openxmlformats.org/spreadsheetml/2006/main" count="49" uniqueCount="39">
  <si>
    <t xml:space="preserve">Annexe financière — AMI « IA stockage, dispensation &amp; administration du médicament »</t>
  </si>
  <si>
    <t xml:space="preserve">CH de Cahors (Jean Rougier) — Solution e-Harvis — DrugOptimal SAS</t>
  </si>
  <si>
    <t xml:space="preserve">Paramètres</t>
  </si>
  <si>
    <t xml:space="preserve">Taux de TVA</t>
  </si>
  <si>
    <t xml:space="preserve">Lits soins critiques (réanimation 8 + USC 4)</t>
  </si>
  <si>
    <t xml:space="preserve">Tarif soins critiques (€/lit/an)</t>
  </si>
  <si>
    <t xml:space="preserve">Lits MCO conventionnels (médecine 180 + chirurgie 70 + obstétrique 27)</t>
  </si>
  <si>
    <t xml:space="preserve">Tarif MCO conventionnel (€/lit/an)</t>
  </si>
  <si>
    <t xml:space="preserve">1. Coûts financés par l'AMI (année 1)</t>
  </si>
  <si>
    <t xml:space="preserve">Poste</t>
  </si>
  <si>
    <t xml:space="preserve">Montant HT (€)</t>
  </si>
  <si>
    <t xml:space="preserve">TVA 20 % (€)</t>
  </si>
  <si>
    <t xml:space="preserve">TTC (€)</t>
  </si>
  <si>
    <t xml:space="preserve">Financeur</t>
  </si>
  <si>
    <t xml:space="preserve">Licences e-Harvis (12 mois)</t>
  </si>
  <si>
    <t xml:space="preserve">AMI</t>
  </si>
  <si>
    <t xml:space="preserve">Accompagnement, déploiement et mise en œuvre</t>
  </si>
  <si>
    <t xml:space="preserve">Sous-total AMI</t>
  </si>
  <si>
    <t xml:space="preserve">2. Cofinancement établissement — valorisation du temps agent (hors TVA)</t>
  </si>
  <si>
    <t xml:space="preserve">Quotité ETP</t>
  </si>
  <si>
    <t xml:space="preserve">Coût chargé de référence (€)</t>
  </si>
  <si>
    <t xml:space="preserve">Valorisation (€)</t>
  </si>
  <si>
    <t xml:space="preserve">Pharmacien chef de projet</t>
  </si>
  <si>
    <t xml:space="preserve">Établissement</t>
  </si>
  <si>
    <t xml:space="preserve">IDE référent</t>
  </si>
  <si>
    <t xml:space="preserve">Cadre de santé</t>
  </si>
  <si>
    <t xml:space="preserve">Référent projet DSI</t>
  </si>
  <si>
    <t xml:space="preserve">Sous-total cofinancement</t>
  </si>
  <si>
    <t xml:space="preserve">3. Plan de financement (année 1)</t>
  </si>
  <si>
    <t xml:space="preserve">Source</t>
  </si>
  <si>
    <t xml:space="preserve">Montant (€)</t>
  </si>
  <si>
    <t xml:space="preserve">Part (%)</t>
  </si>
  <si>
    <t xml:space="preserve">Financement AMI (TTC)</t>
  </si>
  <si>
    <t xml:space="preserve">Cofinancement établissement</t>
  </si>
  <si>
    <t xml:space="preserve">Coût complet (année 1)</t>
  </si>
  <si>
    <t xml:space="preserve">4. Coûts récurrents (année 2 et suivantes)</t>
  </si>
  <si>
    <t xml:space="preserve">Abonnement e-Harvis (licence annuelle)</t>
  </si>
  <si>
    <t xml:space="preserve">Total récurrent annuel</t>
  </si>
  <si>
    <t xml:space="preserve">Cellules bleues = données d'entrée modifiables. Coût récurrent inférieur au plafond CH (40 000 €/an).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</si>
</sst>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0"/>
    <numFmt numFmtId="167" formatCode="#\ ##0&quot; €&quot;"/>
    <numFmt numFmtId="168" formatCode="#\ ##0.00&quot; €&quot;"/>
    <numFmt numFmtId="169" formatCode="0.00"/>
    <numFmt numFmtId="170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v>0.2</v>
      </c>
    </row>
    <row r="6" customFormat="false" ht="15" hidden="false" customHeight="false" outlineLevel="0" collapsed="false">
      <c r="A6" s="5" t="s">
        <v>4</v>
      </c>
      <c r="B6" s="7" t="n">
        <v>12</v>
      </c>
    </row>
    <row r="7" customFormat="false" ht="15" hidden="false" customHeight="false" outlineLevel="0" collapsed="false">
      <c r="A7" s="5" t="s">
        <v>5</v>
      </c>
      <c r="B7" s="8" t="n">
        <v>400</v>
      </c>
    </row>
    <row r="8" customFormat="false" ht="15" hidden="false" customHeight="false" outlineLevel="0" collapsed="false">
      <c r="A8" s="5" t="s">
        <v>6</v>
      </c>
      <c r="B8" s="7" t="n">
        <v>277</v>
      </c>
    </row>
    <row r="9" customFormat="false" ht="15" hidden="false" customHeight="false" outlineLevel="0" collapsed="false">
      <c r="A9" s="5" t="s">
        <v>7</v>
      </c>
      <c r="B9" s="8" t="n">
        <v>48</v>
      </c>
    </row>
    <row r="11" customFormat="false" ht="15" hidden="false" customHeight="false" outlineLevel="0" collapsed="false">
      <c r="A11" s="3" t="s">
        <v>8</v>
      </c>
      <c r="B11" s="4"/>
      <c r="C11" s="4"/>
      <c r="D11" s="4"/>
      <c r="E11" s="4"/>
    </row>
    <row r="12" customFormat="false" ht="15" hidden="false" customHeight="false" outlineLevel="0" collapsed="false">
      <c r="A12" s="9" t="s">
        <v>9</v>
      </c>
      <c r="B12" s="9" t="s">
        <v>10</v>
      </c>
      <c r="C12" s="9" t="s">
        <v>11</v>
      </c>
      <c r="D12" s="9" t="s">
        <v>12</v>
      </c>
      <c r="E12" s="9" t="s">
        <v>13</v>
      </c>
    </row>
    <row r="13" customFormat="false" ht="15" hidden="false" customHeight="false" outlineLevel="0" collapsed="false">
      <c r="A13" s="5" t="s">
        <v>14</v>
      </c>
      <c r="B13" s="10" t="n">
        <f aca="false">$B$6*$B$7+$B$8*$B$9</f>
        <v>18096</v>
      </c>
      <c r="C13" s="10" t="n">
        <f aca="false">B13*$B$5</f>
        <v>3619.2</v>
      </c>
      <c r="D13" s="10" t="n">
        <f aca="false">B13+C13</f>
        <v>21715.2</v>
      </c>
      <c r="E13" s="5" t="s">
        <v>15</v>
      </c>
    </row>
    <row r="14" customFormat="false" ht="15" hidden="false" customHeight="false" outlineLevel="0" collapsed="false">
      <c r="A14" s="5" t="s">
        <v>16</v>
      </c>
      <c r="B14" s="11" t="n">
        <v>16500</v>
      </c>
      <c r="C14" s="10" t="n">
        <f aca="false">B14*$B$5</f>
        <v>3300</v>
      </c>
      <c r="D14" s="10" t="n">
        <f aca="false">B14+C14</f>
        <v>19800</v>
      </c>
      <c r="E14" s="5" t="s">
        <v>15</v>
      </c>
    </row>
    <row r="15" customFormat="false" ht="15" hidden="false" customHeight="false" outlineLevel="0" collapsed="false">
      <c r="A15" s="9" t="s">
        <v>17</v>
      </c>
      <c r="B15" s="12" t="n">
        <f aca="false">SUM(B13:B14)</f>
        <v>34596</v>
      </c>
      <c r="C15" s="12" t="n">
        <f aca="false">SUM(C13:C14)</f>
        <v>6919.2</v>
      </c>
      <c r="D15" s="12" t="n">
        <f aca="false">SUM(D13:D14)</f>
        <v>41515.2</v>
      </c>
      <c r="E15" s="13"/>
    </row>
    <row r="17" customFormat="false" ht="15" hidden="false" customHeight="false" outlineLevel="0" collapsed="false">
      <c r="A17" s="3" t="s">
        <v>18</v>
      </c>
      <c r="B17" s="4"/>
      <c r="C17" s="4"/>
      <c r="D17" s="4"/>
      <c r="E17" s="4"/>
    </row>
    <row r="18" customFormat="false" ht="15" hidden="false" customHeight="false" outlineLevel="0" collapsed="false">
      <c r="A18" s="9" t="s">
        <v>9</v>
      </c>
      <c r="B18" s="9" t="s">
        <v>19</v>
      </c>
      <c r="C18" s="9" t="s">
        <v>20</v>
      </c>
      <c r="D18" s="9" t="s">
        <v>21</v>
      </c>
      <c r="E18" s="9" t="s">
        <v>13</v>
      </c>
    </row>
    <row r="19" customFormat="false" ht="15" hidden="false" customHeight="false" outlineLevel="0" collapsed="false">
      <c r="A19" s="5" t="s">
        <v>22</v>
      </c>
      <c r="B19" s="14" t="n">
        <v>0.1</v>
      </c>
      <c r="C19" s="8" t="n">
        <v>130000</v>
      </c>
      <c r="D19" s="10" t="n">
        <f aca="false">B19*C19</f>
        <v>13000</v>
      </c>
      <c r="E19" s="5" t="s">
        <v>23</v>
      </c>
    </row>
    <row r="20" customFormat="false" ht="15" hidden="false" customHeight="false" outlineLevel="0" collapsed="false">
      <c r="A20" s="5" t="s">
        <v>24</v>
      </c>
      <c r="B20" s="14" t="n">
        <v>0.1</v>
      </c>
      <c r="C20" s="8" t="n">
        <v>58000</v>
      </c>
      <c r="D20" s="10" t="n">
        <f aca="false">B20*C20</f>
        <v>5800</v>
      </c>
      <c r="E20" s="5" t="s">
        <v>23</v>
      </c>
    </row>
    <row r="21" customFormat="false" ht="15" hidden="false" customHeight="false" outlineLevel="0" collapsed="false">
      <c r="A21" s="5" t="s">
        <v>25</v>
      </c>
      <c r="B21" s="14" t="n">
        <v>0.08</v>
      </c>
      <c r="C21" s="8" t="n">
        <v>68000</v>
      </c>
      <c r="D21" s="10" t="n">
        <f aca="false">B21*C21</f>
        <v>5440</v>
      </c>
      <c r="E21" s="5" t="s">
        <v>23</v>
      </c>
    </row>
    <row r="22" customFormat="false" ht="15" hidden="false" customHeight="false" outlineLevel="0" collapsed="false">
      <c r="A22" s="5" t="s">
        <v>26</v>
      </c>
      <c r="B22" s="14" t="n">
        <v>0.04</v>
      </c>
      <c r="C22" s="8" t="n">
        <v>80000</v>
      </c>
      <c r="D22" s="10" t="n">
        <f aca="false">B22*C22</f>
        <v>3200</v>
      </c>
      <c r="E22" s="5" t="s">
        <v>23</v>
      </c>
    </row>
    <row r="23" customFormat="false" ht="15" hidden="false" customHeight="false" outlineLevel="0" collapsed="false">
      <c r="A23" s="9" t="s">
        <v>27</v>
      </c>
      <c r="B23" s="13"/>
      <c r="C23" s="13"/>
      <c r="D23" s="12" t="n">
        <f aca="false">SUM(D19:D22)</f>
        <v>27440</v>
      </c>
      <c r="E23" s="13"/>
    </row>
    <row r="25" customFormat="false" ht="15" hidden="false" customHeight="false" outlineLevel="0" collapsed="false">
      <c r="A25" s="3" t="s">
        <v>28</v>
      </c>
      <c r="B25" s="4"/>
      <c r="C25" s="4"/>
    </row>
    <row r="26" customFormat="false" ht="15" hidden="false" customHeight="false" outlineLevel="0" collapsed="false">
      <c r="A26" s="9" t="s">
        <v>29</v>
      </c>
      <c r="B26" s="9" t="s">
        <v>30</v>
      </c>
      <c r="C26" s="9" t="s">
        <v>31</v>
      </c>
    </row>
    <row r="27" customFormat="false" ht="15" hidden="false" customHeight="false" outlineLevel="0" collapsed="false">
      <c r="A27" s="5" t="s">
        <v>32</v>
      </c>
      <c r="B27" s="10" t="n">
        <f aca="false">D15</f>
        <v>41515.2</v>
      </c>
      <c r="C27" s="15" t="n">
        <f aca="false">B27/$B$29</f>
        <v>0.60206046824605</v>
      </c>
    </row>
    <row r="28" customFormat="false" ht="15" hidden="false" customHeight="false" outlineLevel="0" collapsed="false">
      <c r="A28" s="5" t="s">
        <v>33</v>
      </c>
      <c r="B28" s="10" t="n">
        <f aca="false">D23</f>
        <v>27440</v>
      </c>
      <c r="C28" s="15" t="n">
        <f aca="false">B28/$B$29</f>
        <v>0.39793953175395</v>
      </c>
    </row>
    <row r="29" customFormat="false" ht="15" hidden="false" customHeight="false" outlineLevel="0" collapsed="false">
      <c r="A29" s="9" t="s">
        <v>34</v>
      </c>
      <c r="B29" s="12" t="n">
        <f aca="false">B27+B28</f>
        <v>68955.2</v>
      </c>
      <c r="C29" s="16" t="n">
        <f aca="false">B29/B29</f>
        <v>1</v>
      </c>
    </row>
    <row r="31" customFormat="false" ht="15" hidden="false" customHeight="false" outlineLevel="0" collapsed="false">
      <c r="A31" s="3" t="s">
        <v>35</v>
      </c>
      <c r="B31" s="4"/>
      <c r="C31" s="4"/>
      <c r="D31" s="4"/>
    </row>
    <row r="32" customFormat="false" ht="15" hidden="false" customHeight="false" outlineLevel="0" collapsed="false">
      <c r="A32" s="9" t="s">
        <v>9</v>
      </c>
      <c r="B32" s="9" t="s">
        <v>10</v>
      </c>
      <c r="C32" s="9" t="s">
        <v>11</v>
      </c>
      <c r="D32" s="9" t="s">
        <v>12</v>
      </c>
    </row>
    <row r="33" customFormat="false" ht="15" hidden="false" customHeight="false" outlineLevel="0" collapsed="false">
      <c r="A33" s="5" t="s">
        <v>36</v>
      </c>
      <c r="B33" s="10" t="n">
        <f aca="false">B13</f>
        <v>18096</v>
      </c>
      <c r="C33" s="10" t="n">
        <f aca="false">B33*$B$5</f>
        <v>3619.2</v>
      </c>
      <c r="D33" s="10" t="n">
        <f aca="false">B33+C33</f>
        <v>21715.2</v>
      </c>
    </row>
    <row r="34" customFormat="false" ht="15" hidden="false" customHeight="false" outlineLevel="0" collapsed="false">
      <c r="A34" s="9" t="s">
        <v>37</v>
      </c>
      <c r="B34" s="12" t="n">
        <f aca="false">B33</f>
        <v>18096</v>
      </c>
      <c r="C34" s="12" t="n">
        <f aca="false">C33</f>
        <v>3619.2</v>
      </c>
      <c r="D34" s="12" t="n">
        <f aca="false">D33</f>
        <v>21715.2</v>
      </c>
    </row>
    <row r="36" customFormat="false" ht="15" hidden="false" customHeight="false" outlineLevel="0" collapsed="false">
      <c r="A36" s="17" t="s"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2026-07-02T10:16:54Z</dcterms:created>
  <dc:creator>openpyxl</dc:creator>
  <dc:description/>
  <dc:language>en-US</dc:language>
  <cp:lastModifiedBy/>
  <dcterms:modified xsi:type="dcterms:W3CDTF">2026-07-02T10:16:54Z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